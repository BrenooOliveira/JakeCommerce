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02 Turmas\01 Fatec Mogi - Turmas\03 MPL001 - 1sem2026 (4a. noite)\10 Provas\A1\Publicadas\"/>
    </mc:Choice>
  </mc:AlternateContent>
  <xr:revisionPtr revIDLastSave="0" documentId="13_ncr:1_{ECE82AD0-AADC-4EF1-BD93-17DCCEB45575}" xr6:coauthVersionLast="47" xr6:coauthVersionMax="47" xr10:uidLastSave="{00000000-0000-0000-0000-000000000000}"/>
  <bookViews>
    <workbookView xWindow="-108" yWindow="-108" windowWidth="23256" windowHeight="12456" tabRatio="819" xr2:uid="{00000000-000D-0000-FFFF-FFFF00000000}"/>
  </bookViews>
  <sheets>
    <sheet name="Aluno(a)" sheetId="1" r:id="rId1"/>
    <sheet name="Problema 1" sheetId="13" r:id="rId2"/>
    <sheet name="Problema 2" sheetId="26" r:id="rId3"/>
    <sheet name="P2" sheetId="27" r:id="rId4"/>
  </sheets>
  <definedNames>
    <definedName name="_xlnm.Print_Area" localSheetId="1">'Problema 1'!$A$1:$F$49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<sst xmlns="http://schemas.openxmlformats.org/spreadsheetml/2006/main" count="26" uniqueCount="26">
  <si>
    <t>Nota</t>
  </si>
  <si>
    <t>Nome</t>
  </si>
  <si>
    <t>Problema 01</t>
  </si>
  <si>
    <t>Problema 02</t>
  </si>
  <si>
    <t>P1 - 5</t>
  </si>
  <si>
    <t>P2- 5</t>
  </si>
  <si>
    <t>Instruções (aplicáveis aos dois problemas):</t>
  </si>
  <si>
    <t>2) Resolva utilizando o Solver:</t>
  </si>
  <si>
    <t>(a) Qual é a solução ótima e o lucro total?</t>
  </si>
  <si>
    <t>(d) Suponha que a empresa descubra que 3 galões de creme azedaram e, portanto, precisam ser descartados. A solução ótima mudará? E o que se pode dizer sobre o efeito no lucro total?</t>
  </si>
  <si>
    <t>(b) Suponha que o lucro por galão de sorvete de banana mude para R$ 1,00. A solução ótima mudará? E o que se pode dizer sobre o efeito no lucro total?</t>
  </si>
  <si>
    <t>(c) Suponha que o lucro por galão de sorvete de banana mude para R$ 0,92. A solução ótima mudará? E o que se pode dizer sobre o efeito no lucro total?</t>
  </si>
  <si>
    <t>e) Suponha que a empresa tenha a oportunidade de comprar 15 quilogramas adicionais de açúcar a um custo total de R$ 15. Ela deveria comprá-las? Explique.</t>
  </si>
  <si>
    <t xml:space="preserve">Este problema foi resolvido usando o Solver do Excel. O relatório de sensibilidade é mostrado abaixo. </t>
  </si>
  <si>
    <r>
      <rPr>
        <i/>
        <u/>
        <sz val="14"/>
        <color theme="1"/>
        <rFont val="Calibri"/>
        <family val="2"/>
        <scheme val="minor"/>
      </rPr>
      <t>Observação</t>
    </r>
    <r>
      <rPr>
        <i/>
        <sz val="14"/>
        <color theme="1"/>
        <rFont val="Calibri"/>
        <family val="2"/>
        <scheme val="minor"/>
      </rPr>
      <t>: Cada parte é independente (ou seja, qualquer alteração feita no modelo em uma parte não se aplica às outras partes).</t>
    </r>
  </si>
  <si>
    <r>
      <rPr>
        <b/>
        <sz val="14"/>
        <color rgb="FF0070C0"/>
        <rFont val="Calibri"/>
        <family val="2"/>
        <scheme val="minor"/>
      </rPr>
      <t xml:space="preserve">Pede-se: </t>
    </r>
    <r>
      <rPr>
        <sz val="14"/>
        <color theme="1"/>
        <rFont val="Calibri"/>
        <family val="2"/>
        <scheme val="minor"/>
      </rPr>
      <t xml:space="preserve">Responda às perguntas a seguir </t>
    </r>
    <r>
      <rPr>
        <b/>
        <i/>
        <sz val="14"/>
        <rFont val="Calibri"/>
        <family val="2"/>
        <scheme val="minor"/>
      </rPr>
      <t xml:space="preserve">(letras </t>
    </r>
    <r>
      <rPr>
        <b/>
        <i/>
        <u/>
        <sz val="14"/>
        <rFont val="Calibri"/>
        <family val="2"/>
        <scheme val="minor"/>
      </rPr>
      <t>a</t>
    </r>
    <r>
      <rPr>
        <b/>
        <i/>
        <sz val="14"/>
        <rFont val="Calibri"/>
        <family val="2"/>
        <scheme val="minor"/>
      </rPr>
      <t xml:space="preserve"> até </t>
    </r>
    <r>
      <rPr>
        <b/>
        <i/>
        <u/>
        <sz val="14"/>
        <rFont val="Calibri"/>
        <family val="2"/>
        <scheme val="minor"/>
      </rPr>
      <t>d</t>
    </r>
    <r>
      <rPr>
        <b/>
        <i/>
        <sz val="14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 xml:space="preserve"> da forma mais específica e completa possível, sem resolver o problema novamente no Solver do Excel. </t>
    </r>
  </si>
  <si>
    <r>
      <t xml:space="preserve">A </t>
    </r>
    <r>
      <rPr>
        <b/>
        <sz val="14"/>
        <color theme="1"/>
        <rFont val="Calibri"/>
        <family val="2"/>
        <scheme val="minor"/>
      </rPr>
      <t>Ken and Larry, Inc.</t>
    </r>
    <r>
      <rPr>
        <sz val="14"/>
        <color theme="1"/>
        <rFont val="Calibri"/>
        <family val="2"/>
        <scheme val="minor"/>
      </rPr>
      <t>, fornece três sabores de sorvete para suas sorveterias: chocolate, baunilha e banana. Devido ao clima extremamente quente e à alta demanda por seus produtos, a empresa está com estoque insuficiente de ingredientes: leite, açúcar e creme. Portanto, não conseguirá atender a todos os pedidos recebidos de seus pontos de venda, as sorveterias. Diante dessas circunstâncias, a empresa decidiu escolher a quantidade de cada sabor a ser produzida que maximize o lucro total, considerando as restrições no fornecimento dos ingredientes básicos.
Os sabores chocolate, baunilha e banana geram, respectivamente, R$ 1,00, R$ 0,90 e R$ 0,95 de lucro por galão vendido. A empresa tem apenas 200 galões de leite, 150 quilogramas de açúcar e 60 galões de creme em seu estoque. 
A formulação de programação linear para este problema é mostrada abaixo em forma algébrica.
Seja:
            X1 = galões de sorvete de chocolate produzidos,
            X2 = galões de sorvete de baunilha produzidos,
            X3 = galões de sorvete de banana produzidos.
Maximizar o Lucro = 1,00 X1 + 0,90 X2 + 0,95 X3
Sujeito a:
Leite:                    0,45 X1 + 0,50 X2 + 0.40 X3 ≤ 200 galões
Açucar:                 0,50 X1 + 0,40 X2 + 0.40 X3 ≤ 150 galões
Creme: 	                 0,10 X1 + 0,15 X2 + 0.20 X3 ≤  60 galões
e
X1 ≥ 0,  X2 ≥ 0,  X3 ≥ 0.</t>
    </r>
  </si>
  <si>
    <t>Leia com atenção as instruções nas abas Problema 1 e Problema 2.</t>
  </si>
  <si>
    <t>1) Escreva o sistema de equações:</t>
  </si>
  <si>
    <t>AVALIE O RELATÓRIO DE SENSIBILIDADE PARA FORNECER AS RESPOSTAS ABAIXO</t>
  </si>
  <si>
    <r>
      <t xml:space="preserve">A </t>
    </r>
    <r>
      <rPr>
        <b/>
        <sz val="14"/>
        <color theme="1"/>
        <rFont val="Calibri"/>
        <family val="2"/>
        <scheme val="minor"/>
      </rPr>
      <t>Cia. de Seguros Primo</t>
    </r>
    <r>
      <rPr>
        <sz val="14"/>
        <color theme="1"/>
        <rFont val="Calibri"/>
        <family val="2"/>
        <scheme val="minor"/>
      </rPr>
      <t xml:space="preserve"> está introduzindo duas novas linhas de produtos: seguro de risco especial e hipotecas. O lucro esperado é de US$ 5 por unidade em um seguro de risco especial e de US$ 2 por unidade nas hipotecas.
A direção quer estabelecer cotas de vendas para as novas linhas de produtos de modo a maximizar o lucro total esperado. As exigências, em termos de trabalho, são as seguintes:</t>
    </r>
  </si>
  <si>
    <r>
      <rPr>
        <b/>
        <sz val="14"/>
        <color rgb="FF0070C0"/>
        <rFont val="Calibri"/>
        <family val="2"/>
        <scheme val="minor"/>
      </rPr>
      <t xml:space="preserve">4) </t>
    </r>
    <r>
      <rPr>
        <sz val="14"/>
        <rFont val="Calibri"/>
        <family val="2"/>
        <scheme val="minor"/>
      </rPr>
      <t xml:space="preserve">Como a solução ótima mudaria (se mudasse realmente) se o lucro unitário pelo seguro de risco diminuísse de US$ 5 para US$ 3? </t>
    </r>
  </si>
  <si>
    <r>
      <rPr>
        <b/>
        <sz val="14"/>
        <color rgb="FF0070C0"/>
        <rFont val="Calibri"/>
        <family val="2"/>
        <scheme val="minor"/>
      </rPr>
      <t xml:space="preserve">5)  </t>
    </r>
    <r>
      <rPr>
        <sz val="14"/>
        <color theme="1"/>
        <rFont val="Calibri"/>
        <family val="2"/>
        <scheme val="minor"/>
      </rPr>
      <t>Na próxima semana, um dos funcionários da Subscrição vai faltar 3 dias para se recuperar de uma pequena cirurgia (24 horas).
Como a solução ótima mudaria caso se não houvesse possibilidade de substituir temporariamente este funcionário?</t>
    </r>
  </si>
  <si>
    <r>
      <t xml:space="preserve">5) </t>
    </r>
    <r>
      <rPr>
        <sz val="16"/>
        <rFont val="Calibri"/>
        <family val="2"/>
        <scheme val="minor"/>
      </rPr>
      <t>João está considerando diminuir sua quantidade de horas de trabalho, o que reduziria o número de esquadrias de madeira que ele fabrica por dia. 
Somente avaliando o relatório de sensibilidade, defina o novo valor de lucro obtido. Explique o cálculo.
Simule esta alteração em uma nova planilha do Solver. Como a solução ótima mudaria caso ele fizesse apenas cinco esquadrias por dia?</t>
    </r>
  </si>
  <si>
    <t>3) Qual é a solução ótima e o lucro total?</t>
  </si>
  <si>
    <t>Preencha os dados de entrada do problema na próxima aba "P2" e execute o Solver para encontrar a solução inicial ótima.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</si>
</sst>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4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6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/>
      <right/>
      <top style="medium">
        <color theme="5" tint="-0.249977111117893"/>
      </top>
      <bottom/>
      <diagonal/>
    </border>
    <border>
      <left/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 style="medium">
        <color theme="5" tint="-0.249977111117893"/>
      </bottom>
      <diagonal/>
    </border>
    <border>
      <left/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 style="medium">
        <color theme="5" tint="-0.249977111117893"/>
      </bottom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3" fillId="0" borderId="1" xfId="0" applyFont="1" applyBorder="1"/>
    <xf numFmtId="49" fontId="4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vertical="top"/>
    </xf>
    <xf numFmtId="0" fontId="7" fillId="0" borderId="1" xfId="0" applyFont="1" applyBorder="1"/>
    <xf numFmtId="0" fontId="7" fillId="0" borderId="2" xfId="0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2" borderId="6" xfId="0" applyFont="1" applyFill="1" applyBorder="1"/>
    <xf numFmtId="0" fontId="0" fillId="3" borderId="7" xfId="0" applyFill="1" applyBorder="1"/>
    <xf numFmtId="0" fontId="0" fillId="0" borderId="8" xfId="0" applyBorder="1"/>
    <xf numFmtId="0" fontId="7" fillId="0" borderId="3" xfId="0" applyFont="1" applyBorder="1" applyAlignment="1">
      <alignment vertical="center"/>
    </xf>
    <xf numFmtId="49" fontId="5" fillId="0" borderId="0" xfId="0" applyNumberFormat="1" applyFont="1" applyAlignment="1">
      <alignment vertical="top" wrapText="1"/>
    </xf>
    <xf numFmtId="49" fontId="5" fillId="0" borderId="3" xfId="0" applyNumberFormat="1" applyFont="1" applyBorder="1" applyAlignment="1">
      <alignment horizontal="left" vertical="center" wrapText="1"/>
    </xf>
    <xf numFmtId="49" fontId="8" fillId="0" borderId="10" xfId="0" applyNumberFormat="1" applyFont="1" applyBorder="1" applyAlignment="1">
      <alignment vertical="top" wrapText="1"/>
    </xf>
    <xf numFmtId="49" fontId="5" fillId="0" borderId="3" xfId="0" applyNumberFormat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164" fontId="0" fillId="0" borderId="0" xfId="1" applyFont="1"/>
    <xf numFmtId="49" fontId="6" fillId="0" borderId="0" xfId="0" applyNumberFormat="1" applyFont="1" applyAlignment="1">
      <alignment horizontal="left" vertical="center" wrapText="1"/>
    </xf>
    <xf numFmtId="49" fontId="6" fillId="0" borderId="18" xfId="0" applyNumberFormat="1" applyFont="1" applyBorder="1" applyAlignment="1">
      <alignment vertical="center" wrapText="1"/>
    </xf>
    <xf numFmtId="49" fontId="6" fillId="0" borderId="19" xfId="0" applyNumberFormat="1" applyFont="1" applyBorder="1" applyAlignment="1">
      <alignment vertical="center" wrapText="1"/>
    </xf>
    <xf numFmtId="49" fontId="6" fillId="0" borderId="20" xfId="0" applyNumberFormat="1" applyFont="1" applyBorder="1" applyAlignment="1">
      <alignment vertical="center" wrapText="1"/>
    </xf>
    <xf numFmtId="49" fontId="6" fillId="0" borderId="21" xfId="0" applyNumberFormat="1" applyFont="1" applyBorder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22" xfId="0" applyNumberFormat="1" applyFont="1" applyBorder="1" applyAlignment="1">
      <alignment vertical="center" wrapText="1"/>
    </xf>
    <xf numFmtId="49" fontId="6" fillId="0" borderId="15" xfId="0" applyNumberFormat="1" applyFont="1" applyBorder="1" applyAlignment="1">
      <alignment vertical="center" wrapText="1"/>
    </xf>
    <xf numFmtId="49" fontId="6" fillId="0" borderId="16" xfId="0" applyNumberFormat="1" applyFont="1" applyBorder="1" applyAlignment="1">
      <alignment vertical="center" wrapText="1"/>
    </xf>
    <xf numFmtId="49" fontId="6" fillId="0" borderId="17" xfId="0" applyNumberFormat="1" applyFont="1" applyBorder="1" applyAlignment="1">
      <alignment vertical="center" wrapText="1"/>
    </xf>
    <xf numFmtId="49" fontId="14" fillId="0" borderId="0" xfId="0" applyNumberFormat="1" applyFont="1" applyAlignment="1">
      <alignment horizontal="left" vertical="top" wrapText="1"/>
    </xf>
    <xf numFmtId="49" fontId="14" fillId="0" borderId="24" xfId="0" applyNumberFormat="1" applyFont="1" applyBorder="1" applyAlignment="1">
      <alignment horizontal="left" vertical="top" wrapText="1"/>
    </xf>
    <xf numFmtId="49" fontId="14" fillId="0" borderId="23" xfId="0" applyNumberFormat="1" applyFont="1" applyBorder="1" applyAlignment="1">
      <alignment horizontal="left" vertical="top" wrapText="1"/>
    </xf>
    <xf numFmtId="49" fontId="14" fillId="0" borderId="25" xfId="0" applyNumberFormat="1" applyFont="1" applyBorder="1" applyAlignment="1">
      <alignment horizontal="left" vertical="top" wrapText="1"/>
    </xf>
    <xf numFmtId="49" fontId="14" fillId="0" borderId="26" xfId="0" applyNumberFormat="1" applyFont="1" applyBorder="1" applyAlignment="1">
      <alignment horizontal="left" vertical="top" wrapText="1"/>
    </xf>
    <xf numFmtId="49" fontId="14" fillId="0" borderId="27" xfId="0" applyNumberFormat="1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49" fontId="5" fillId="0" borderId="12" xfId="0" applyNumberFormat="1" applyFont="1" applyBorder="1" applyAlignment="1">
      <alignment horizontal="left" vertical="top" wrapText="1"/>
    </xf>
    <xf numFmtId="49" fontId="5" fillId="0" borderId="14" xfId="0" applyNumberFormat="1" applyFont="1" applyBorder="1" applyAlignment="1">
      <alignment horizontal="left" vertical="top" wrapText="1"/>
    </xf>
    <xf numFmtId="49" fontId="5" fillId="0" borderId="13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left" vertical="top" wrapText="1"/>
    </xf>
    <xf numFmtId="49" fontId="5" fillId="0" borderId="9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 wrapText="1"/>
    </xf>
    <xf numFmtId="49" fontId="9" fillId="0" borderId="9" xfId="0" applyNumberFormat="1" applyFont="1" applyBorder="1" applyAlignment="1">
      <alignment horizontal="left" vertical="center" wrapText="1"/>
    </xf>
    <xf numFmtId="49" fontId="9" fillId="0" borderId="5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top" wrapText="1"/>
    </xf>
    <xf numFmtId="49" fontId="8" fillId="0" borderId="11" xfId="0" applyNumberFormat="1" applyFont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center" wrapText="1"/>
    </xf>
    <xf numFmtId="49" fontId="8" fillId="0" borderId="11" xfId="0" applyNumberFormat="1" applyFont="1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top" wrapText="1"/>
    </xf>
    <xf numFmtId="49" fontId="0" fillId="0" borderId="9" xfId="0" applyNumberFormat="1" applyBorder="1" applyAlignment="1">
      <alignment horizontal="center" vertical="top" wrapText="1"/>
    </xf>
    <xf numFmtId="49" fontId="0" fillId="0" borderId="5" xfId="0" applyNumberFormat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49" fontId="14" fillId="0" borderId="23" xfId="0" applyNumberFormat="1" applyFont="1" applyBorder="1" applyAlignment="1">
      <alignment horizontal="left" vertical="top" wrapText="1"/>
    </xf>
    <xf numFmtId="49" fontId="14" fillId="0" borderId="24" xfId="0" applyNumberFormat="1" applyFont="1" applyBorder="1" applyAlignment="1">
      <alignment horizontal="left" vertical="top" wrapText="1"/>
    </xf>
    <xf numFmtId="49" fontId="14" fillId="0" borderId="25" xfId="0" applyNumberFormat="1" applyFont="1" applyBorder="1" applyAlignment="1">
      <alignment horizontal="left" vertical="top" wrapText="1"/>
    </xf>
    <xf numFmtId="49" fontId="14" fillId="0" borderId="28" xfId="0" applyNumberFormat="1" applyFont="1" applyBorder="1" applyAlignment="1">
      <alignment horizontal="left" vertical="top" wrapText="1"/>
    </xf>
    <xf numFmtId="49" fontId="14" fillId="0" borderId="29" xfId="0" applyNumberFormat="1" applyFont="1" applyBorder="1" applyAlignment="1">
      <alignment horizontal="left" vertical="top" wrapText="1"/>
    </xf>
    <xf numFmtId="49" fontId="14" fillId="0" borderId="30" xfId="0" applyNumberFormat="1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8" fillId="0" borderId="34" xfId="0" applyFont="1" applyBorder="1" applyAlignment="1">
      <alignment horizontal="left" vertical="center"/>
    </xf>
    <xf numFmtId="49" fontId="19" fillId="0" borderId="12" xfId="0" applyNumberFormat="1" applyFont="1" applyBorder="1" applyAlignment="1">
      <alignment horizontal="left" vertical="top" wrapText="1"/>
    </xf>
    <xf numFmtId="49" fontId="19" fillId="0" borderId="14" xfId="0" applyNumberFormat="1" applyFont="1" applyBorder="1" applyAlignment="1">
      <alignment horizontal="left" vertical="top" wrapText="1"/>
    </xf>
    <xf numFmtId="49" fontId="19" fillId="0" borderId="13" xfId="0" applyNumberFormat="1" applyFont="1" applyBorder="1" applyAlignment="1">
      <alignment horizontal="left" vertical="top" wrapText="1"/>
    </xf>
  </cellXfs>
  <cellStyles count="2">
    <cellStyle name="Moeda 2" xfId="1" xr:uid="{7671240D-2C4D-498E-BE45-8D3FDBB1F4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265640</xdr:colOff>
      <xdr:row>2</xdr:row>
      <xdr:rowOff>75023</xdr:rowOff>
    </xdr:from>
    <xdr:to>
      <xdr:col>3</xdr:col>
      <xdr:colOff>5244040</xdr:colOff>
      <xdr:row>23</xdr:row>
      <xdr:rowOff>52446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EF2C3B-980A-6E19-F980-10347159B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4965" y="837023"/>
          <a:ext cx="4978400" cy="3758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5195</xdr:colOff>
      <xdr:row>2</xdr:row>
      <xdr:rowOff>13162</xdr:rowOff>
    </xdr:from>
    <xdr:to>
      <xdr:col>10</xdr:col>
      <xdr:colOff>602673</xdr:colOff>
      <xdr:row>7</xdr:row>
      <xdr:rowOff>13855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076C493-140C-4394-9CB6-867E947E4D0C}"/>
            </a:ext>
          </a:extLst>
        </xdr:cNvPr>
        <xdr:cNvSpPr txBox="1"/>
      </xdr:nvSpPr>
      <xdr:spPr>
        <a:xfrm>
          <a:off x="7107035" y="561802"/>
          <a:ext cx="4879918" cy="3376353"/>
        </a:xfrm>
        <a:prstGeom prst="rect">
          <a:avLst/>
        </a:prstGeom>
        <a:solidFill>
          <a:schemeClr val="lt1"/>
        </a:solidFill>
        <a:ln w="19050" cmpd="sng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 editAs="oneCell">
    <xdr:from>
      <xdr:col>1</xdr:col>
      <xdr:colOff>254000</xdr:colOff>
      <xdr:row>6</xdr:row>
      <xdr:rowOff>222250</xdr:rowOff>
    </xdr:from>
    <xdr:to>
      <xdr:col>1</xdr:col>
      <xdr:colOff>6203990</xdr:colOff>
      <xdr:row>6</xdr:row>
      <xdr:rowOff>1441451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FA04CA7-9B72-4681-B1F8-A2D72915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640" y="2447290"/>
          <a:ext cx="5949990" cy="1219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"/>
    </sheetView>
  </sheetViews>
  <sheetFormatPr defaultRowHeight="14.4" x14ac:dyDescent="0.3"/>
  <cols>
    <col min="1" max="1" width="71.109375" bestFit="1" customWidth="1"/>
    <col min="3" max="5" width="12" bestFit="1" customWidth="1"/>
  </cols>
  <sheetData>
    <row r="1" spans="1:6" ht="25.8" x14ac:dyDescent="0.5">
      <c r="A1" s="10" t="s">
        <v>1</v>
      </c>
      <c r="C1" s="5" t="s">
        <v>4</v>
      </c>
      <c r="D1" s="5" t="s">
        <v>5</v>
      </c>
      <c r="E1" s="5"/>
      <c r="F1" s="6" t="s">
        <v>0</v>
      </c>
    </row>
    <row r="2" spans="1:6" ht="33" customHeight="1" x14ac:dyDescent="0.45">
      <c r="A2" s="11"/>
      <c r="C2" s="2"/>
      <c r="D2" s="2"/>
      <c r="E2" s="1"/>
      <c r="F2" s="2">
        <f>SUM(C2:E2)</f>
        <v>0</v>
      </c>
    </row>
    <row r="3" spans="1:6" ht="33" customHeight="1" thickBot="1" x14ac:dyDescent="0.35">
      <c r="A3" s="12"/>
    </row>
    <row r="5" spans="1:6" ht="27" customHeight="1" x14ac:dyDescent="0.3">
      <c r="A5" s="4" t="s">
        <v>6</v>
      </c>
    </row>
    <row r="6" spans="1:6" ht="42" x14ac:dyDescent="0.3">
      <c r="A6" s="7" t="s">
        <v>17</v>
      </c>
    </row>
    <row r="7" spans="1:6" ht="30.75" customHeight="1" x14ac:dyDescent="0.3">
      <c r="A7" s="8"/>
    </row>
    <row r="8" spans="1:6" ht="21" x14ac:dyDescent="0.3">
      <c r="A8" s="3"/>
    </row>
    <row r="10" spans="1:6" ht="21" x14ac:dyDescent="0.3">
      <c r="A10" s="4"/>
    </row>
    <row r="11" spans="1:6" ht="21" x14ac:dyDescent="0.3">
      <c r="A11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1E56-CE3C-4B00-818C-521E6AE84523}">
  <sheetPr>
    <pageSetUpPr fitToPage="1"/>
  </sheetPr>
  <dimension ref="B1:O51"/>
  <sheetViews>
    <sheetView zoomScaleNormal="100" workbookViewId="0">
      <selection activeCell="B2" sqref="B2"/>
    </sheetView>
  </sheetViews>
  <sheetFormatPr defaultRowHeight="14.4" x14ac:dyDescent="0.3"/>
  <cols>
    <col min="1" max="1" width="2.44140625" customWidth="1"/>
    <col min="2" max="2" width="80.44140625" customWidth="1"/>
    <col min="3" max="3" width="2.33203125" customWidth="1"/>
    <col min="4" max="4" width="83.6640625" customWidth="1"/>
    <col min="5" max="5" width="2.33203125" customWidth="1"/>
    <col min="6" max="6" width="92.33203125" customWidth="1"/>
    <col min="7" max="7" width="3" customWidth="1"/>
    <col min="8" max="8" width="8.88671875" customWidth="1"/>
  </cols>
  <sheetData>
    <row r="1" spans="2:6" ht="15" thickBot="1" x14ac:dyDescent="0.35"/>
    <row r="2" spans="2:6" ht="44.4" customHeight="1" thickBot="1" x14ac:dyDescent="0.35">
      <c r="B2" s="13" t="s">
        <v>2</v>
      </c>
      <c r="D2" s="15" t="s">
        <v>13</v>
      </c>
      <c r="F2" s="16" t="s">
        <v>10</v>
      </c>
    </row>
    <row r="3" spans="2:6" ht="14.4" customHeight="1" x14ac:dyDescent="0.3">
      <c r="B3" s="42" t="s">
        <v>16</v>
      </c>
      <c r="D3" s="60"/>
      <c r="F3" s="53"/>
    </row>
    <row r="4" spans="2:6" ht="13.2" customHeight="1" x14ac:dyDescent="0.3">
      <c r="B4" s="43"/>
      <c r="D4" s="61"/>
      <c r="F4" s="54"/>
    </row>
    <row r="5" spans="2:6" ht="14.4" customHeight="1" x14ac:dyDescent="0.3">
      <c r="B5" s="43"/>
      <c r="D5" s="61"/>
      <c r="F5" s="54"/>
    </row>
    <row r="6" spans="2:6" ht="14.4" customHeight="1" x14ac:dyDescent="0.3">
      <c r="B6" s="43"/>
      <c r="D6" s="61"/>
      <c r="F6" s="54"/>
    </row>
    <row r="7" spans="2:6" ht="14.4" customHeight="1" x14ac:dyDescent="0.3">
      <c r="B7" s="43"/>
      <c r="D7" s="61"/>
      <c r="F7" s="54"/>
    </row>
    <row r="8" spans="2:6" ht="14.4" customHeight="1" x14ac:dyDescent="0.3">
      <c r="B8" s="43"/>
      <c r="D8" s="61"/>
      <c r="F8" s="54"/>
    </row>
    <row r="9" spans="2:6" ht="14.4" customHeight="1" x14ac:dyDescent="0.3">
      <c r="B9" s="43"/>
      <c r="D9" s="61"/>
      <c r="F9" s="54"/>
    </row>
    <row r="10" spans="2:6" ht="14.4" customHeight="1" thickBot="1" x14ac:dyDescent="0.35">
      <c r="B10" s="43"/>
      <c r="D10" s="61"/>
      <c r="F10" s="55"/>
    </row>
    <row r="11" spans="2:6" ht="14.4" customHeight="1" thickBot="1" x14ac:dyDescent="0.35">
      <c r="B11" s="43"/>
      <c r="D11" s="61"/>
    </row>
    <row r="12" spans="2:6" ht="14.4" customHeight="1" x14ac:dyDescent="0.3">
      <c r="B12" s="43"/>
      <c r="D12" s="61"/>
      <c r="F12" s="56" t="s">
        <v>11</v>
      </c>
    </row>
    <row r="13" spans="2:6" ht="14.4" customHeight="1" x14ac:dyDescent="0.3">
      <c r="B13" s="43"/>
      <c r="D13" s="61"/>
      <c r="F13" s="57"/>
    </row>
    <row r="14" spans="2:6" ht="14.4" customHeight="1" thickBot="1" x14ac:dyDescent="0.35">
      <c r="B14" s="43"/>
      <c r="D14" s="61"/>
      <c r="F14" s="57"/>
    </row>
    <row r="15" spans="2:6" ht="14.4" customHeight="1" x14ac:dyDescent="0.3">
      <c r="B15" s="43"/>
      <c r="D15" s="61"/>
      <c r="F15" s="39"/>
    </row>
    <row r="16" spans="2:6" ht="14.4" customHeight="1" x14ac:dyDescent="0.3">
      <c r="B16" s="43"/>
      <c r="D16" s="61"/>
      <c r="F16" s="40"/>
    </row>
    <row r="17" spans="2:15" ht="14.4" customHeight="1" x14ac:dyDescent="0.3">
      <c r="B17" s="43"/>
      <c r="D17" s="61"/>
      <c r="F17" s="40"/>
    </row>
    <row r="18" spans="2:15" ht="14.4" customHeight="1" x14ac:dyDescent="0.3">
      <c r="B18" s="43"/>
      <c r="D18" s="61"/>
      <c r="F18" s="40"/>
    </row>
    <row r="19" spans="2:15" ht="14.4" customHeight="1" x14ac:dyDescent="0.3">
      <c r="B19" s="43"/>
      <c r="D19" s="61"/>
      <c r="F19" s="40"/>
    </row>
    <row r="20" spans="2:15" ht="14.4" customHeight="1" x14ac:dyDescent="0.3">
      <c r="B20" s="43"/>
      <c r="D20" s="61"/>
      <c r="F20" s="40"/>
    </row>
    <row r="21" spans="2:15" ht="14.4" customHeight="1" x14ac:dyDescent="0.3">
      <c r="B21" s="43"/>
      <c r="D21" s="61"/>
      <c r="F21" s="40"/>
    </row>
    <row r="22" spans="2:15" ht="14.4" customHeight="1" thickBot="1" x14ac:dyDescent="0.35">
      <c r="B22" s="43"/>
      <c r="D22" s="61"/>
      <c r="F22" s="41"/>
    </row>
    <row r="23" spans="2:15" ht="14.4" customHeight="1" thickBot="1" x14ac:dyDescent="0.35">
      <c r="B23" s="43"/>
      <c r="D23" s="61"/>
    </row>
    <row r="24" spans="2:15" ht="14.4" customHeight="1" thickBot="1" x14ac:dyDescent="0.35">
      <c r="B24" s="43"/>
      <c r="D24" s="62"/>
      <c r="F24" s="56" t="s">
        <v>9</v>
      </c>
    </row>
    <row r="25" spans="2:15" ht="14.4" customHeight="1" x14ac:dyDescent="0.3">
      <c r="B25" s="43"/>
      <c r="D25" s="50" t="s">
        <v>15</v>
      </c>
      <c r="F25" s="57"/>
    </row>
    <row r="26" spans="2:15" ht="14.4" customHeight="1" x14ac:dyDescent="0.3">
      <c r="B26" s="43"/>
      <c r="D26" s="51"/>
      <c r="F26" s="57"/>
      <c r="G26" s="9"/>
      <c r="H26" s="9"/>
      <c r="I26" s="9"/>
      <c r="J26" s="9"/>
      <c r="K26" s="9"/>
      <c r="L26" s="9"/>
      <c r="M26" s="9"/>
      <c r="N26" s="9"/>
      <c r="O26" s="9"/>
    </row>
    <row r="27" spans="2:15" ht="14.4" customHeight="1" thickBot="1" x14ac:dyDescent="0.35">
      <c r="B27" s="43"/>
      <c r="D27" s="51"/>
      <c r="F27" s="57"/>
    </row>
    <row r="28" spans="2:15" ht="14.4" customHeight="1" thickBot="1" x14ac:dyDescent="0.35">
      <c r="B28" s="43"/>
      <c r="D28" s="52"/>
      <c r="F28" s="39"/>
    </row>
    <row r="29" spans="2:15" ht="14.4" customHeight="1" x14ac:dyDescent="0.3">
      <c r="B29" s="43"/>
      <c r="D29" s="47" t="s">
        <v>14</v>
      </c>
      <c r="F29" s="40"/>
    </row>
    <row r="30" spans="2:15" ht="14.4" customHeight="1" x14ac:dyDescent="0.3">
      <c r="B30" s="43"/>
      <c r="D30" s="48"/>
      <c r="F30" s="40"/>
    </row>
    <row r="31" spans="2:15" ht="14.4" customHeight="1" thickBot="1" x14ac:dyDescent="0.35">
      <c r="B31" s="43"/>
      <c r="D31" s="49"/>
      <c r="F31" s="40"/>
    </row>
    <row r="32" spans="2:15" ht="14.4" customHeight="1" thickBot="1" x14ac:dyDescent="0.35">
      <c r="B32" s="43"/>
      <c r="F32" s="40"/>
    </row>
    <row r="33" spans="2:6" ht="14.4" customHeight="1" x14ac:dyDescent="0.3">
      <c r="B33" s="43"/>
      <c r="D33" s="45" t="s">
        <v>8</v>
      </c>
      <c r="F33" s="40"/>
    </row>
    <row r="34" spans="2:6" ht="14.4" customHeight="1" thickBot="1" x14ac:dyDescent="0.35">
      <c r="B34" s="43"/>
      <c r="D34" s="46"/>
      <c r="F34" s="40"/>
    </row>
    <row r="35" spans="2:6" ht="14.4" customHeight="1" thickBot="1" x14ac:dyDescent="0.35">
      <c r="B35" s="43"/>
      <c r="D35" s="39"/>
      <c r="F35" s="41"/>
    </row>
    <row r="36" spans="2:6" ht="14.4" customHeight="1" thickBot="1" x14ac:dyDescent="0.35">
      <c r="B36" s="43"/>
      <c r="D36" s="40"/>
    </row>
    <row r="37" spans="2:6" ht="14.4" customHeight="1" x14ac:dyDescent="0.3">
      <c r="B37" s="43"/>
      <c r="D37" s="40"/>
      <c r="F37" s="58" t="s">
        <v>12</v>
      </c>
    </row>
    <row r="38" spans="2:6" ht="14.4" customHeight="1" x14ac:dyDescent="0.3">
      <c r="B38" s="43"/>
      <c r="D38" s="40"/>
      <c r="F38" s="59"/>
    </row>
    <row r="39" spans="2:6" ht="14.4" customHeight="1" x14ac:dyDescent="0.3">
      <c r="B39" s="43"/>
      <c r="D39" s="40"/>
      <c r="F39" s="59"/>
    </row>
    <row r="40" spans="2:6" ht="14.4" customHeight="1" thickBot="1" x14ac:dyDescent="0.35">
      <c r="B40" s="43"/>
      <c r="D40" s="40"/>
      <c r="F40" s="59"/>
    </row>
    <row r="41" spans="2:6" ht="14.4" customHeight="1" x14ac:dyDescent="0.3">
      <c r="B41" s="43"/>
      <c r="D41" s="40"/>
      <c r="F41" s="39"/>
    </row>
    <row r="42" spans="2:6" ht="14.4" customHeight="1" x14ac:dyDescent="0.3">
      <c r="B42" s="43"/>
      <c r="D42" s="40"/>
      <c r="F42" s="40"/>
    </row>
    <row r="43" spans="2:6" ht="14.4" customHeight="1" x14ac:dyDescent="0.3">
      <c r="B43" s="43"/>
      <c r="D43" s="40"/>
      <c r="F43" s="40"/>
    </row>
    <row r="44" spans="2:6" ht="14.4" customHeight="1" x14ac:dyDescent="0.3">
      <c r="B44" s="43"/>
      <c r="D44" s="40"/>
      <c r="F44" s="40"/>
    </row>
    <row r="45" spans="2:6" ht="14.4" customHeight="1" x14ac:dyDescent="0.3">
      <c r="B45" s="43"/>
      <c r="D45" s="40"/>
      <c r="F45" s="40"/>
    </row>
    <row r="46" spans="2:6" ht="14.4" customHeight="1" x14ac:dyDescent="0.3">
      <c r="B46" s="43"/>
      <c r="D46" s="40"/>
      <c r="F46" s="40"/>
    </row>
    <row r="47" spans="2:6" ht="14.4" customHeight="1" x14ac:dyDescent="0.3">
      <c r="B47" s="43"/>
      <c r="D47" s="40"/>
      <c r="F47" s="40"/>
    </row>
    <row r="48" spans="2:6" ht="14.4" customHeight="1" thickBot="1" x14ac:dyDescent="0.35">
      <c r="B48" s="44"/>
      <c r="D48" s="41"/>
      <c r="F48" s="41"/>
    </row>
    <row r="49" spans="2:2" ht="14.4" customHeight="1" x14ac:dyDescent="0.3">
      <c r="B49" s="14"/>
    </row>
    <row r="50" spans="2:2" ht="14.4" customHeight="1" x14ac:dyDescent="0.3">
      <c r="B50" s="14"/>
    </row>
    <row r="51" spans="2:2" ht="14.4" customHeight="1" x14ac:dyDescent="0.3">
      <c r="B51" s="14"/>
    </row>
  </sheetData>
  <mergeCells count="13">
    <mergeCell ref="F41:F48"/>
    <mergeCell ref="F28:F35"/>
    <mergeCell ref="F15:F22"/>
    <mergeCell ref="B3:B48"/>
    <mergeCell ref="D33:D34"/>
    <mergeCell ref="D29:D31"/>
    <mergeCell ref="D25:D28"/>
    <mergeCell ref="D35:D48"/>
    <mergeCell ref="F3:F10"/>
    <mergeCell ref="F24:F27"/>
    <mergeCell ref="F37:F40"/>
    <mergeCell ref="D3:D24"/>
    <mergeCell ref="F12:F14"/>
  </mergeCells>
  <pageMargins left="0.511811024" right="0.511811024" top="0.78740157499999996" bottom="0.78740157499999996" header="0.31496062000000002" footer="0.31496062000000002"/>
  <pageSetup paperSize="9" scale="4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BE42-B932-4845-AC35-A235384EE030}">
  <dimension ref="B1:Y73"/>
  <sheetViews>
    <sheetView topLeftCell="B1" zoomScale="80" zoomScaleNormal="80" workbookViewId="0">
      <selection activeCell="B2" sqref="B2"/>
    </sheetView>
  </sheetViews>
  <sheetFormatPr defaultRowHeight="14.4" x14ac:dyDescent="0.3"/>
  <cols>
    <col min="1" max="1" width="2.44140625" customWidth="1"/>
    <col min="2" max="2" width="99.44140625" customWidth="1"/>
    <col min="3" max="3" width="1.6640625" customWidth="1"/>
    <col min="10" max="10" width="9.109375" customWidth="1"/>
    <col min="12" max="12" width="3.109375" customWidth="1"/>
    <col min="13" max="13" width="3.33203125" customWidth="1"/>
    <col min="17" max="17" width="15" customWidth="1"/>
  </cols>
  <sheetData>
    <row r="1" spans="2:25" ht="15" thickBot="1" x14ac:dyDescent="0.35"/>
    <row r="2" spans="2:25" ht="28.5" customHeight="1" thickBot="1" x14ac:dyDescent="0.35">
      <c r="B2" s="13" t="s">
        <v>3</v>
      </c>
      <c r="D2" s="63" t="s">
        <v>18</v>
      </c>
      <c r="E2" s="64"/>
      <c r="F2" s="64"/>
      <c r="G2" s="64"/>
      <c r="H2" s="64"/>
      <c r="I2" s="64"/>
      <c r="J2" s="64"/>
      <c r="K2" s="65"/>
      <c r="L2" s="9"/>
      <c r="N2" s="66" t="s">
        <v>19</v>
      </c>
      <c r="O2" s="67"/>
      <c r="P2" s="67"/>
      <c r="Q2" s="67"/>
      <c r="R2" s="67"/>
      <c r="S2" s="67"/>
      <c r="T2" s="67"/>
      <c r="U2" s="67"/>
      <c r="V2" s="67"/>
      <c r="W2" s="67"/>
      <c r="X2" s="67"/>
      <c r="Y2" s="68"/>
    </row>
    <row r="3" spans="2:25" ht="27" customHeight="1" x14ac:dyDescent="0.3">
      <c r="B3" s="42" t="s">
        <v>20</v>
      </c>
      <c r="N3" s="79" t="s">
        <v>21</v>
      </c>
      <c r="O3" s="80"/>
      <c r="P3" s="80"/>
      <c r="Q3" s="80"/>
      <c r="R3" s="80"/>
      <c r="S3" s="80"/>
      <c r="T3" s="80"/>
      <c r="U3" s="80"/>
      <c r="V3" s="80"/>
      <c r="W3" s="80"/>
      <c r="X3" s="80"/>
      <c r="Y3" s="81"/>
    </row>
    <row r="4" spans="2:25" ht="27" customHeight="1" thickBot="1" x14ac:dyDescent="0.35">
      <c r="B4" s="43"/>
      <c r="N4" s="82"/>
      <c r="O4" s="83"/>
      <c r="P4" s="83"/>
      <c r="Q4" s="83"/>
      <c r="R4" s="83"/>
      <c r="S4" s="83"/>
      <c r="T4" s="83"/>
      <c r="U4" s="83"/>
      <c r="V4" s="83"/>
      <c r="W4" s="83"/>
      <c r="X4" s="83"/>
      <c r="Y4" s="84"/>
    </row>
    <row r="5" spans="2:25" ht="27" customHeight="1" x14ac:dyDescent="0.3">
      <c r="B5" s="43"/>
      <c r="N5" s="32"/>
      <c r="O5" s="31"/>
      <c r="P5" s="31"/>
      <c r="Q5" s="31"/>
      <c r="R5" s="31"/>
      <c r="S5" s="31"/>
      <c r="T5" s="31"/>
      <c r="U5" s="31"/>
      <c r="V5" s="31"/>
      <c r="W5" s="31"/>
      <c r="X5" s="31"/>
      <c r="Y5" s="33"/>
    </row>
    <row r="6" spans="2:25" ht="27" customHeight="1" thickBot="1" x14ac:dyDescent="0.35">
      <c r="B6" s="44"/>
      <c r="N6" s="34"/>
      <c r="O6" s="30"/>
      <c r="P6" s="30"/>
      <c r="Q6" s="30"/>
      <c r="R6" s="30"/>
      <c r="S6" s="30"/>
      <c r="T6" s="30"/>
      <c r="U6" s="30"/>
      <c r="V6" s="30"/>
      <c r="W6" s="30"/>
      <c r="X6" s="30"/>
      <c r="Y6" s="35"/>
    </row>
    <row r="7" spans="2:25" ht="134.25" customHeight="1" thickBot="1" x14ac:dyDescent="0.35">
      <c r="B7" s="17"/>
      <c r="N7" s="36"/>
      <c r="O7" s="37"/>
      <c r="P7" s="37"/>
      <c r="Q7" s="37"/>
      <c r="R7" s="37"/>
      <c r="S7" s="37"/>
      <c r="T7" s="37"/>
      <c r="U7" s="37"/>
      <c r="V7" s="37"/>
      <c r="W7" s="37"/>
      <c r="X7" s="37"/>
      <c r="Y7" s="38"/>
    </row>
    <row r="8" spans="2:25" ht="13.2" customHeight="1" x14ac:dyDescent="0.3"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</row>
    <row r="9" spans="2:25" ht="15" thickBot="1" x14ac:dyDescent="0.35"/>
    <row r="10" spans="2:25" ht="28.5" customHeight="1" thickBot="1" x14ac:dyDescent="0.35">
      <c r="B10" s="94" t="s">
        <v>7</v>
      </c>
      <c r="L10" s="18"/>
      <c r="M10" s="18"/>
      <c r="N10" s="85" t="s">
        <v>22</v>
      </c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7"/>
    </row>
    <row r="11" spans="2:25" ht="18" customHeight="1" x14ac:dyDescent="0.3">
      <c r="B11" s="95" t="s">
        <v>25</v>
      </c>
      <c r="N11" s="88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</row>
    <row r="12" spans="2:25" x14ac:dyDescent="0.3">
      <c r="B12" s="96"/>
      <c r="N12" s="88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</row>
    <row r="13" spans="2:25" ht="15" customHeight="1" thickBot="1" x14ac:dyDescent="0.35">
      <c r="B13" s="97"/>
      <c r="N13" s="88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</row>
    <row r="14" spans="2:25" ht="15" customHeight="1" thickBot="1" x14ac:dyDescent="0.35">
      <c r="N14" s="91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3"/>
    </row>
    <row r="15" spans="2:25" ht="24" customHeight="1" thickBot="1" x14ac:dyDescent="0.35">
      <c r="B15" s="63" t="s">
        <v>24</v>
      </c>
      <c r="C15" s="64"/>
      <c r="D15" s="64"/>
      <c r="E15" s="64"/>
      <c r="F15" s="64"/>
      <c r="G15" s="65"/>
      <c r="J15" s="19"/>
      <c r="N15" s="70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2"/>
    </row>
    <row r="16" spans="2:25" ht="15" customHeight="1" x14ac:dyDescent="0.3">
      <c r="B16" s="70"/>
      <c r="C16" s="71"/>
      <c r="D16" s="71"/>
      <c r="E16" s="71"/>
      <c r="F16" s="71"/>
      <c r="G16" s="72"/>
      <c r="N16" s="73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5"/>
    </row>
    <row r="17" spans="2:25" ht="15" customHeight="1" x14ac:dyDescent="0.3">
      <c r="B17" s="73"/>
      <c r="C17" s="74"/>
      <c r="D17" s="74"/>
      <c r="E17" s="74"/>
      <c r="F17" s="74"/>
      <c r="G17" s="75"/>
      <c r="N17" s="73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</row>
    <row r="18" spans="2:25" ht="18.75" customHeight="1" x14ac:dyDescent="0.3">
      <c r="B18" s="73"/>
      <c r="C18" s="74"/>
      <c r="D18" s="74"/>
      <c r="E18" s="74"/>
      <c r="F18" s="74"/>
      <c r="G18" s="75"/>
      <c r="N18" s="73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</row>
    <row r="19" spans="2:25" ht="14.4" customHeight="1" x14ac:dyDescent="0.3">
      <c r="B19" s="73"/>
      <c r="C19" s="74"/>
      <c r="D19" s="74"/>
      <c r="E19" s="74"/>
      <c r="F19" s="74"/>
      <c r="G19" s="75"/>
      <c r="N19" s="73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2:25" ht="14.4" customHeight="1" x14ac:dyDescent="0.3">
      <c r="B20" s="73"/>
      <c r="C20" s="74"/>
      <c r="D20" s="74"/>
      <c r="E20" s="74"/>
      <c r="F20" s="74"/>
      <c r="G20" s="75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2:25" x14ac:dyDescent="0.3">
      <c r="B21" s="73"/>
      <c r="C21" s="74"/>
      <c r="D21" s="74"/>
      <c r="E21" s="74"/>
      <c r="F21" s="74"/>
      <c r="G21" s="75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2:25" x14ac:dyDescent="0.3">
      <c r="B22" s="73"/>
      <c r="C22" s="74"/>
      <c r="D22" s="74"/>
      <c r="E22" s="74"/>
      <c r="F22" s="74"/>
      <c r="G22" s="75"/>
      <c r="N22" s="73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</row>
    <row r="23" spans="2:25" ht="15" thickBot="1" x14ac:dyDescent="0.35">
      <c r="B23" s="76"/>
      <c r="C23" s="77"/>
      <c r="D23" s="77"/>
      <c r="E23" s="77"/>
      <c r="F23" s="77"/>
      <c r="G23" s="78"/>
      <c r="N23" s="76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8"/>
    </row>
    <row r="34" spans="2:11" ht="28.5" customHeight="1" x14ac:dyDescent="0.3"/>
    <row r="48" spans="2:11" ht="21" x14ac:dyDescent="0.3"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67" spans="2:11" ht="18" customHeight="1" x14ac:dyDescent="0.3">
      <c r="B67" s="21" t="s">
        <v>23</v>
      </c>
      <c r="C67" s="22"/>
      <c r="D67" s="22"/>
      <c r="E67" s="22"/>
      <c r="F67" s="22"/>
      <c r="G67" s="22"/>
      <c r="H67" s="22"/>
      <c r="I67" s="22"/>
      <c r="J67" s="22"/>
      <c r="K67" s="23"/>
    </row>
    <row r="68" spans="2:11" ht="28.5" customHeight="1" x14ac:dyDescent="0.3">
      <c r="B68" s="24"/>
      <c r="C68" s="25"/>
      <c r="D68" s="25"/>
      <c r="E68" s="25"/>
      <c r="F68" s="25"/>
      <c r="G68" s="25"/>
      <c r="H68" s="25"/>
      <c r="I68" s="25"/>
      <c r="J68" s="25"/>
      <c r="K68" s="26"/>
    </row>
    <row r="69" spans="2:11" ht="14.4" customHeight="1" x14ac:dyDescent="0.3">
      <c r="B69" s="24"/>
      <c r="C69" s="25"/>
      <c r="D69" s="25"/>
      <c r="E69" s="25"/>
      <c r="F69" s="25"/>
      <c r="G69" s="25"/>
      <c r="H69" s="25"/>
      <c r="I69" s="25"/>
      <c r="J69" s="25"/>
      <c r="K69" s="26"/>
    </row>
    <row r="70" spans="2:11" ht="14.4" customHeight="1" x14ac:dyDescent="0.3">
      <c r="B70" s="24"/>
      <c r="C70" s="25"/>
      <c r="D70" s="25"/>
      <c r="E70" s="25"/>
      <c r="F70" s="25"/>
      <c r="G70" s="25"/>
      <c r="H70" s="25"/>
      <c r="I70" s="25"/>
      <c r="J70" s="25"/>
      <c r="K70" s="26"/>
    </row>
    <row r="71" spans="2:11" ht="18" customHeight="1" x14ac:dyDescent="0.3">
      <c r="B71" s="24"/>
      <c r="C71" s="25"/>
      <c r="D71" s="25"/>
      <c r="E71" s="25"/>
      <c r="F71" s="25"/>
      <c r="G71" s="25"/>
      <c r="H71" s="25"/>
      <c r="I71" s="25"/>
      <c r="J71" s="25"/>
      <c r="K71" s="26"/>
    </row>
    <row r="72" spans="2:11" ht="15" customHeight="1" x14ac:dyDescent="0.3">
      <c r="B72" s="24"/>
      <c r="C72" s="25"/>
      <c r="D72" s="25"/>
      <c r="E72" s="25"/>
      <c r="F72" s="25"/>
      <c r="G72" s="25"/>
      <c r="H72" s="25"/>
      <c r="I72" s="25"/>
      <c r="J72" s="25"/>
      <c r="K72" s="26"/>
    </row>
    <row r="73" spans="2:11" ht="15" customHeight="1" x14ac:dyDescent="0.3">
      <c r="B73" s="27"/>
      <c r="C73" s="28"/>
      <c r="D73" s="28"/>
      <c r="E73" s="28"/>
      <c r="F73" s="28"/>
      <c r="G73" s="28"/>
      <c r="H73" s="28"/>
      <c r="I73" s="28"/>
      <c r="J73" s="28"/>
      <c r="K73" s="29"/>
    </row>
  </sheetData>
  <mergeCells count="10">
    <mergeCell ref="B16:G23"/>
    <mergeCell ref="B3:B6"/>
    <mergeCell ref="N3:Y4"/>
    <mergeCell ref="N10:Y14"/>
    <mergeCell ref="N15:Y23"/>
    <mergeCell ref="B11:B13"/>
    <mergeCell ref="B15:G15"/>
    <mergeCell ref="D2:K2"/>
    <mergeCell ref="N2:Y2"/>
    <mergeCell ref="C8:O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9355-B1E0-44D9-A726-F48A141DD13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C1E6502269314D96F2C130BBBC5359" ma:contentTypeVersion="4" ma:contentTypeDescription="Crie um novo documento." ma:contentTypeScope="" ma:versionID="5517daa3b0fca3eb857ff65abe76f613">
  <xsd:schema xmlns:xsd="http://www.w3.org/2001/XMLSchema" xmlns:xs="http://www.w3.org/2001/XMLSchema" xmlns:p="http://schemas.microsoft.com/office/2006/metadata/properties" xmlns:ns2="617be20b-c327-4549-b02b-ad3e19b05fb3" targetNamespace="http://schemas.microsoft.com/office/2006/metadata/properties" ma:root="true" ma:fieldsID="578d1ab7784f017ff65a69024def7086" ns2:_="">
    <xsd:import namespace="617be20b-c327-4549-b02b-ad3e19b05fb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be20b-c327-4549-b02b-ad3e19b05fb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17be20b-c327-4549-b02b-ad3e19b05fb3" xsi:nil="true"/>
  </documentManagement>
</p:properties>
</file>

<file path=customXml/itemProps1.xml><?xml version="1.0" encoding="utf-8"?>
<ds:datastoreItem xmlns:ds="http://schemas.openxmlformats.org/officeDocument/2006/customXml" ds:itemID="{906AAD41-4445-4346-947D-EDB3F47AE696}"/>
</file>

<file path=customXml/itemProps2.xml><?xml version="1.0" encoding="utf-8"?>
<ds:datastoreItem xmlns:ds="http://schemas.openxmlformats.org/officeDocument/2006/customXml" ds:itemID="{1CEA7DB7-E845-43EC-AD69-5DDEFF6786B3}"/>
</file>

<file path=customXml/itemProps3.xml><?xml version="1.0" encoding="utf-8"?>
<ds:datastoreItem xmlns:ds="http://schemas.openxmlformats.org/officeDocument/2006/customXml" ds:itemID="{F531BC31-5BDA-49C2-A7CD-94CA9BE1C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Aluno(a)</vt:lpstr>
      <vt:lpstr>Problema 1</vt:lpstr>
      <vt:lpstr>Problema 2</vt:lpstr>
      <vt:lpstr>P2</vt:lpstr>
      <vt:lpstr>'Problema 1'!Area_de_impressao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Ana Tonão</cp:lastModifiedBy>
  <cp:revision/>
  <cp:lastPrinted>2026-04-21T15:28:59Z</cp:lastPrinted>
  <dcterms:created xsi:type="dcterms:W3CDTF">2018-06-25T13:39:47Z</dcterms:created>
  <dcterms:modified xsi:type="dcterms:W3CDTF">2026-04-22T21:12:12Z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0x010100E5C1E6502269314D96F2C130BBBC5359</vt:lpwstr>
  </property>
</Properties>
</file>